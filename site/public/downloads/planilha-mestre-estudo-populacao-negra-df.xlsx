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758A6691-7D82-5147-AA93-F9B498B71FA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EADME" sheetId="1" r:id="rId1"/>
    <sheet name="Status_20_Indicadores" sheetId="2" r:id="rId2"/>
    <sheet name="Denominadores_Populacionais" sheetId="3" r:id="rId3"/>
    <sheet name="SINASC_Nascidos_Vivos" sheetId="4" r:id="rId4"/>
    <sheet name="SIM_Óbitos" sheetId="5" r:id="rId5"/>
    <sheet name="Indicadores_Materno_Infantis" sheetId="6" r:id="rId6"/>
  </sheets>
  <definedNames>
    <definedName name="_xlnm._FilterDatabase" localSheetId="1" hidden="1">Status_20_Indicadores!$A$3:$D$23</definedName>
    <definedName name="_xlnm._FilterDatabase" localSheetId="2" hidden="1">Denominadores_Populacionais!$A$3:$H$13</definedName>
    <definedName name="_xlnm._FilterDatabase" localSheetId="3" hidden="1">SINASC_Nascidos_Vivos!$A$3:$H$13</definedName>
    <definedName name="_xlnm._FilterDatabase" localSheetId="4" hidden="1">SIM_Óbitos!$A$3:$H$13</definedName>
    <definedName name="_xlnm._FilterDatabase" localSheetId="5" hidden="1">Indicadores_Materno_Infantis!$A$4:$N$14</definedName>
    <definedName name="_xlnm.Print_Area" localSheetId="0">README!$A$1:$H$21</definedName>
    <definedName name="_xlnm.Print_Area" localSheetId="1">Status_20_Indicadores!$A$1:$D$23</definedName>
    <definedName name="_xlnm.Print_Area" localSheetId="2">Denominadores_Populacionais!$A$1:$H$13</definedName>
    <definedName name="_xlnm.Print_Area" localSheetId="3">SINASC_Nascidos_Vivos!$A$1:$H$13</definedName>
    <definedName name="_xlnm.Print_Area" localSheetId="4">SIM_Óbitos!$A$1:$H$13</definedName>
    <definedName name="_xlnm.Print_Area" localSheetId="5">Indicadores_Materno_Infantis!$A$1:$N$14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6" l="1"/>
  <c r="N14" i="6"/>
  <c r="I14" i="6"/>
  <c r="M14" i="6"/>
  <c r="L14" i="6"/>
  <c r="K14" i="6"/>
  <c r="E14" i="6"/>
  <c r="J13" i="6"/>
  <c r="N13" i="6"/>
  <c r="I13" i="6"/>
  <c r="M13" i="6"/>
  <c r="L13" i="6"/>
  <c r="K13" i="6"/>
  <c r="E13" i="6"/>
  <c r="J12" i="6"/>
  <c r="N12" i="6"/>
  <c r="I12" i="6"/>
  <c r="M12" i="6"/>
  <c r="L12" i="6"/>
  <c r="K12" i="6"/>
  <c r="E12" i="6"/>
  <c r="J11" i="6"/>
  <c r="N11" i="6"/>
  <c r="I11" i="6"/>
  <c r="M11" i="6"/>
  <c r="L11" i="6"/>
  <c r="K11" i="6"/>
  <c r="E11" i="6"/>
  <c r="J10" i="6"/>
  <c r="N10" i="6"/>
  <c r="I10" i="6"/>
  <c r="M10" i="6"/>
  <c r="L10" i="6"/>
  <c r="K10" i="6"/>
  <c r="E10" i="6"/>
  <c r="J9" i="6"/>
  <c r="N9" i="6"/>
  <c r="I9" i="6"/>
  <c r="M9" i="6"/>
  <c r="L9" i="6"/>
  <c r="K9" i="6"/>
  <c r="E9" i="6"/>
  <c r="J8" i="6"/>
  <c r="N8" i="6"/>
  <c r="I8" i="6"/>
  <c r="M8" i="6"/>
  <c r="L8" i="6"/>
  <c r="K8" i="6"/>
  <c r="E8" i="6"/>
  <c r="J7" i="6"/>
  <c r="N7" i="6"/>
  <c r="I7" i="6"/>
  <c r="M7" i="6"/>
  <c r="L7" i="6"/>
  <c r="K7" i="6"/>
  <c r="E7" i="6"/>
  <c r="J6" i="6"/>
  <c r="N6" i="6"/>
  <c r="I6" i="6"/>
  <c r="M6" i="6"/>
  <c r="L6" i="6"/>
  <c r="K6" i="6"/>
  <c r="E6" i="6"/>
  <c r="J5" i="6"/>
  <c r="N5" i="6"/>
  <c r="I5" i="6"/>
  <c r="M5" i="6"/>
  <c r="L5" i="6"/>
  <c r="K5" i="6"/>
  <c r="E5" i="6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H5" i="5"/>
  <c r="F5" i="5"/>
  <c r="H4" i="5"/>
  <c r="F4" i="5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F4" i="4"/>
  <c r="E13" i="3"/>
  <c r="E12" i="3"/>
  <c r="E11" i="3"/>
  <c r="E10" i="3"/>
  <c r="E9" i="3"/>
  <c r="E8" i="3"/>
  <c r="E7" i="3"/>
  <c r="E6" i="3"/>
  <c r="E5" i="3"/>
  <c r="E4" i="3"/>
</calcChain>
</file>

<file path=xl/sharedStrings.xml><?xml version="1.0" encoding="utf-8"?>
<sst xmlns="http://schemas.openxmlformats.org/spreadsheetml/2006/main" count="145" uniqueCount="93">
  <si>
    <t>AECID · APRECIA · CASIO STUDIO V2</t>
  </si>
  <si>
    <t>PLANILHA MESTRE — ESTUDO POPULAÇÃO NEGRA DO DF (2015–2024)</t>
  </si>
  <si>
    <t>Pesquisadora</t>
  </si>
  <si>
    <t>Dra. Vivilian Muller</t>
  </si>
  <si>
    <t>Projeto</t>
  </si>
  <si>
    <t>Conectando Saúde e Inclusão: Tecnologia e Educação para a Equidade e o Combate ao Racismo no DF</t>
  </si>
  <si>
    <t>Financiador</t>
  </si>
  <si>
    <t>AECID – Agência Espanhola de Cooperação Internacional para o Desenvolvimento</t>
  </si>
  <si>
    <t>Executor</t>
  </si>
  <si>
    <t>Instituto APRECIA</t>
  </si>
  <si>
    <t>INSTRUÇÕES DE USO</t>
  </si>
  <si>
    <t>Esta planilha calcula automaticamente indicadores de saúde estratificados por raça/cor.</t>
  </si>
  <si>
    <t>Insira dados brutos nas abas SINASC_Nascidos_Vivos, SIM_Óbitos e demais abas de origem.</t>
  </si>
  <si>
    <t>As abas de indicadores calculam taxas, razões Negra/Branca e incompletude automaticamente — não delete células com fórmulas (destacadas em azul-claro).</t>
  </si>
  <si>
    <t>População Negra = Preta + Parda.</t>
  </si>
  <si>
    <t>Grupo de comparação: População Branca.</t>
  </si>
  <si>
    <t>PAINEL DE ABAS</t>
  </si>
  <si>
    <t>Status_20_Indicadores</t>
  </si>
  <si>
    <t>Checklist de status dos 20 indicadores do estudo (Pronto / Parcial / Pendente).</t>
  </si>
  <si>
    <t>Denominadores_Populacionais</t>
  </si>
  <si>
    <t>População do DF por raça/cor, 2015–2024 (PNAD Contínua/IBGE).</t>
  </si>
  <si>
    <t>SINASC_Nascidos_Vivos</t>
  </si>
  <si>
    <t>Nascidos vivos por raça/cor e % de incompletude do quesito raça/cor.</t>
  </si>
  <si>
    <t>SIM_Óbitos</t>
  </si>
  <si>
    <t>Óbitos por raça/cor e % de incompletude do quesito raça/cor.</t>
  </si>
  <si>
    <t>Indicadores_Materno_Infantis</t>
  </si>
  <si>
    <t>Razão de Mortalidade Materna (RMM) por raça/cor e razão Negra/Branca.</t>
  </si>
  <si>
    <t>STATUS DOS 20 INDICADORES DE SAÚDE — POPULAÇÃO NEGRA DO DF</t>
  </si>
  <si>
    <t>ID</t>
  </si>
  <si>
    <t>Indicador</t>
  </si>
  <si>
    <t>Status</t>
  </si>
  <si>
    <t>Fonte</t>
  </si>
  <si>
    <t>1. Proporção população negra</t>
  </si>
  <si>
    <t>Pronto</t>
  </si>
  <si>
    <t>PDAD-A</t>
  </si>
  <si>
    <t>2. Distribuição territorial</t>
  </si>
  <si>
    <t>3. Estrutura etária e sexo</t>
  </si>
  <si>
    <t>Parcial</t>
  </si>
  <si>
    <t>IBGE</t>
  </si>
  <si>
    <t>4. Renda e posição socioeconômica</t>
  </si>
  <si>
    <t>5. Escolaridade</t>
  </si>
  <si>
    <t>6. Trabalho e desemprego</t>
  </si>
  <si>
    <t>7. Condições domiciliares e saneamento</t>
  </si>
  <si>
    <t>Pendente</t>
  </si>
  <si>
    <t>Censo</t>
  </si>
  <si>
    <t>8. Mortalidade materna</t>
  </si>
  <si>
    <t>SIM+SINASC</t>
  </si>
  <si>
    <t>9. Mortalidade infantil</t>
  </si>
  <si>
    <t>10. Adequação do pré-natal</t>
  </si>
  <si>
    <t>SINASC</t>
  </si>
  <si>
    <t>11. Prematuridade e baixo peso</t>
  </si>
  <si>
    <t>12. Mortalidade prematura por DCNT</t>
  </si>
  <si>
    <t>SIM</t>
  </si>
  <si>
    <t>13. Mortalidade cardiovascular</t>
  </si>
  <si>
    <t>14. Mortalidade por diabetes</t>
  </si>
  <si>
    <t>15. Tuberculose</t>
  </si>
  <si>
    <t>SINAN</t>
  </si>
  <si>
    <t>16. HIV/AIDS</t>
  </si>
  <si>
    <t>17. Mortalidade por homicídios</t>
  </si>
  <si>
    <t>18. Violência interpessoal/autoprovocada</t>
  </si>
  <si>
    <t>19. Acesso/utilização serviços saúde</t>
  </si>
  <si>
    <t>20. Completude raça/cor</t>
  </si>
  <si>
    <t>Múltiplas</t>
  </si>
  <si>
    <t>DENOMINADORES POPULACIONAIS — DF (2015–2024)</t>
  </si>
  <si>
    <t>Ano</t>
  </si>
  <si>
    <t>Branca</t>
  </si>
  <si>
    <t>Preta</t>
  </si>
  <si>
    <t>Parda</t>
  </si>
  <si>
    <t>Negra (=Preta+Parda)</t>
  </si>
  <si>
    <t>Outras</t>
  </si>
  <si>
    <t>Total DF</t>
  </si>
  <si>
    <t>PNAD Contínua/IBGE</t>
  </si>
  <si>
    <t>SINASC — NASCIDOS VIVOS POR RAÇA/COR (2015–2024)</t>
  </si>
  <si>
    <t>Total NV</t>
  </si>
  <si>
    <t>Ignorada</t>
  </si>
  <si>
    <t>% Incompletude</t>
  </si>
  <si>
    <t>SIM — ÓBITOS POR RAÇA/COR (2015–2024)</t>
  </si>
  <si>
    <t>Total Óbitos</t>
  </si>
  <si>
    <t>INDICADORES MATERNO-INFANTIS (2015–2024)</t>
  </si>
  <si>
    <t>8. RAZÃO DE MORTALIDADE MATERNA (RMM) — POR 100.000 NASCIDOS VIVOS</t>
  </si>
  <si>
    <t>Óbitos Mat. Branca</t>
  </si>
  <si>
    <t>Óbitos Mat. Preta</t>
  </si>
  <si>
    <t>Óbitos Mat. Parda</t>
  </si>
  <si>
    <t>Óbitos Mat. Negra</t>
  </si>
  <si>
    <t>NV Branca</t>
  </si>
  <si>
    <t>NV Preta</t>
  </si>
  <si>
    <t>NV Parda</t>
  </si>
  <si>
    <t>NV Negra</t>
  </si>
  <si>
    <t>RMM Branca</t>
  </si>
  <si>
    <t>RMM Preta</t>
  </si>
  <si>
    <t>RMM Parda</t>
  </si>
  <si>
    <t>RMM Negra</t>
  </si>
  <si>
    <t>Razão N/B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</si>
</sst>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0.0"/>
    <numFmt numFmtId="166" formatCode="0.00&quot;x&quot;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5B5F6B"/>
      <name val="Calibri"/>
    </font>
    <font>
      <b/>
      <sz val="15"/>
      <color rgb="FFFFFFFF"/>
      <name val="Calibri"/>
    </font>
    <font>
      <b/>
      <sz val="11"/>
      <color rgb="FF1A1A1E"/>
      <name val="Calibri"/>
    </font>
    <font>
      <sz val="11"/>
      <color rgb="FF2B2B30"/>
      <name val="Calibri"/>
    </font>
    <font>
      <b/>
      <sz val="11"/>
      <color rgb="FFFFFFFF"/>
      <name val="Calibri"/>
    </font>
    <font>
      <b/>
      <sz val="11"/>
      <color rgb="FF1F5FA8"/>
      <name val="Calibri"/>
    </font>
    <font>
      <b/>
      <sz val="11"/>
      <color rgb="FF20304D"/>
      <name val="Calibri"/>
    </font>
    <font>
      <b/>
      <sz val="13"/>
      <color rgb="FFFFFFFF"/>
      <name val="Calibri"/>
    </font>
    <font>
      <b/>
      <sz val="11"/>
      <color rgb="FF1E7B3C"/>
      <name val="Calibri"/>
    </font>
    <font>
      <b/>
      <sz val="11"/>
      <color rgb="FFB5610E"/>
      <name val="Calibri"/>
    </font>
    <font>
      <b/>
      <sz val="11"/>
      <color rgb="FFB32D2E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CEDF1"/>
      </patternFill>
    </fill>
    <fill>
      <patternFill patternType="solid">
        <fgColor rgb="FF1B2130"/>
      </patternFill>
    </fill>
    <fill>
      <patternFill patternType="solid">
        <fgColor rgb="FF20304D"/>
      </patternFill>
    </fill>
    <fill>
      <patternFill patternType="solid">
        <fgColor rgb="FFFFFFFF"/>
      </patternFill>
    </fill>
    <fill>
      <patternFill patternType="solid">
        <fgColor rgb="FFF6F7F9"/>
      </patternFill>
    </fill>
    <fill>
      <patternFill patternType="solid">
        <fgColor rgb="FFE7F5EC"/>
      </patternFill>
    </fill>
    <fill>
      <patternFill patternType="solid">
        <fgColor rgb="FFFDF0E1"/>
      </patternFill>
    </fill>
    <fill>
      <patternFill patternType="solid">
        <fgColor rgb="FFFBE9E9"/>
      </patternFill>
    </fill>
    <fill>
      <patternFill patternType="solid">
        <fgColor rgb="FFE8F1FB"/>
      </patternFill>
    </fill>
  </fills>
  <borders count="2">
    <border>
      <left/>
      <right/>
      <top/>
      <bottom/>
      <diagonal/>
    </border>
    <border>
      <left style="thin">
        <color rgb="FFD8DAE0"/>
      </left>
      <right style="thin">
        <color rgb="FFD8DAE0"/>
      </right>
      <top style="thin">
        <color rgb="FFD8DAE0"/>
      </top>
      <bottom style="thin">
        <color rgb="FFD8DA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left" vertical="center" wrapText="1"/>
    </xf>
    <xf numFmtId="3" fontId="7" fillId="10" borderId="1" xfId="0" applyNumberFormat="1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left" vertical="center" wrapText="1"/>
    </xf>
    <xf numFmtId="164" fontId="7" fillId="10" borderId="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165" fontId="7" fillId="10" borderId="1" xfId="0" applyNumberFormat="1" applyFont="1" applyFill="1" applyBorder="1" applyAlignment="1">
      <alignment horizontal="left" vertical="center" wrapText="1"/>
    </xf>
    <xf numFmtId="166" fontId="7" fillId="10" borderId="1" xfId="0" applyNumberFormat="1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inden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04D"/>
    <pageSetUpPr fitToPage="1"/>
  </sheetPr>
  <dimension ref="A1:H21"/>
  <sheetViews>
    <sheetView showGridLines="0" topLeftCell="A4" workbookViewId="0"/>
  </sheetViews>
  <sheetFormatPr defaultRowHeight="15" x14ac:dyDescent="0.2"/>
  <cols>
    <col min="1" max="1" width="25.9609375" customWidth="1"/>
    <col min="2" max="8" width="13.98828125" customWidth="1"/>
  </cols>
  <sheetData>
    <row r="1" spans="1:8" ht="18" customHeight="1" x14ac:dyDescent="0.2">
      <c r="A1" s="25" t="s">
        <v>0</v>
      </c>
      <c r="B1" s="21"/>
      <c r="C1" s="21"/>
      <c r="D1" s="21"/>
      <c r="E1" s="21"/>
      <c r="F1" s="21"/>
      <c r="G1" s="21"/>
      <c r="H1" s="21"/>
    </row>
    <row r="2" spans="1:8" ht="39.950000000000003" customHeight="1" x14ac:dyDescent="0.2">
      <c r="A2" s="24" t="s">
        <v>1</v>
      </c>
      <c r="B2" s="21"/>
      <c r="C2" s="21"/>
      <c r="D2" s="21"/>
      <c r="E2" s="21"/>
      <c r="F2" s="21"/>
      <c r="G2" s="21"/>
      <c r="H2" s="21"/>
    </row>
    <row r="3" spans="1:8" ht="6" customHeight="1" x14ac:dyDescent="0.2"/>
    <row r="4" spans="1:8" x14ac:dyDescent="0.2">
      <c r="A4" s="2" t="s">
        <v>2</v>
      </c>
      <c r="B4" s="23" t="s">
        <v>3</v>
      </c>
      <c r="C4" s="21"/>
      <c r="D4" s="21"/>
      <c r="E4" s="21"/>
      <c r="F4" s="21"/>
      <c r="G4" s="21"/>
      <c r="H4" s="21"/>
    </row>
    <row r="5" spans="1:8" x14ac:dyDescent="0.2">
      <c r="A5" s="2" t="s">
        <v>4</v>
      </c>
      <c r="B5" s="23" t="s">
        <v>5</v>
      </c>
      <c r="C5" s="21"/>
      <c r="D5" s="21"/>
      <c r="E5" s="21"/>
      <c r="F5" s="21"/>
      <c r="G5" s="21"/>
      <c r="H5" s="21"/>
    </row>
    <row r="6" spans="1:8" x14ac:dyDescent="0.2">
      <c r="A6" s="2" t="s">
        <v>6</v>
      </c>
      <c r="B6" s="23" t="s">
        <v>7</v>
      </c>
      <c r="C6" s="21"/>
      <c r="D6" s="21"/>
      <c r="E6" s="21"/>
      <c r="F6" s="21"/>
      <c r="G6" s="21"/>
      <c r="H6" s="21"/>
    </row>
    <row r="7" spans="1:8" x14ac:dyDescent="0.2">
      <c r="A7" s="2" t="s">
        <v>8</v>
      </c>
      <c r="B7" s="23" t="s">
        <v>9</v>
      </c>
      <c r="C7" s="21"/>
      <c r="D7" s="21"/>
      <c r="E7" s="21"/>
      <c r="F7" s="21"/>
      <c r="G7" s="21"/>
      <c r="H7" s="21"/>
    </row>
    <row r="8" spans="1:8" x14ac:dyDescent="0.2">
      <c r="A8" s="1"/>
    </row>
    <row r="9" spans="1:8" ht="21.95" customHeight="1" x14ac:dyDescent="0.2">
      <c r="A9" s="20" t="s">
        <v>10</v>
      </c>
      <c r="B9" s="21"/>
      <c r="C9" s="21"/>
      <c r="D9" s="21"/>
      <c r="E9" s="21"/>
      <c r="F9" s="21"/>
      <c r="G9" s="21"/>
      <c r="H9" s="21"/>
    </row>
    <row r="10" spans="1:8" ht="27.95" customHeight="1" x14ac:dyDescent="0.2">
      <c r="A10" s="3">
        <v>1</v>
      </c>
      <c r="B10" s="22" t="s">
        <v>11</v>
      </c>
      <c r="C10" s="21"/>
      <c r="D10" s="21"/>
      <c r="E10" s="21"/>
      <c r="F10" s="21"/>
      <c r="G10" s="21"/>
      <c r="H10" s="21"/>
    </row>
    <row r="11" spans="1:8" ht="27.95" customHeight="1" x14ac:dyDescent="0.2">
      <c r="A11" s="3">
        <v>2</v>
      </c>
      <c r="B11" s="22" t="s">
        <v>12</v>
      </c>
      <c r="C11" s="21"/>
      <c r="D11" s="21"/>
      <c r="E11" s="21"/>
      <c r="F11" s="21"/>
      <c r="G11" s="21"/>
      <c r="H11" s="21"/>
    </row>
    <row r="12" spans="1:8" ht="27.95" customHeight="1" x14ac:dyDescent="0.2">
      <c r="A12" s="3">
        <v>3</v>
      </c>
      <c r="B12" s="22" t="s">
        <v>13</v>
      </c>
      <c r="C12" s="21"/>
      <c r="D12" s="21"/>
      <c r="E12" s="21"/>
      <c r="F12" s="21"/>
      <c r="G12" s="21"/>
      <c r="H12" s="21"/>
    </row>
    <row r="13" spans="1:8" ht="27.95" customHeight="1" x14ac:dyDescent="0.2">
      <c r="A13" s="3">
        <v>4</v>
      </c>
      <c r="B13" s="22" t="s">
        <v>14</v>
      </c>
      <c r="C13" s="21"/>
      <c r="D13" s="21"/>
      <c r="E13" s="21"/>
      <c r="F13" s="21"/>
      <c r="G13" s="21"/>
      <c r="H13" s="21"/>
    </row>
    <row r="14" spans="1:8" ht="27.95" customHeight="1" x14ac:dyDescent="0.2">
      <c r="A14" s="3">
        <v>5</v>
      </c>
      <c r="B14" s="22" t="s">
        <v>15</v>
      </c>
      <c r="C14" s="21"/>
      <c r="D14" s="21"/>
      <c r="E14" s="21"/>
      <c r="F14" s="21"/>
      <c r="G14" s="21"/>
      <c r="H14" s="21"/>
    </row>
    <row r="16" spans="1:8" ht="18" customHeight="1" x14ac:dyDescent="0.2">
      <c r="A16" s="25" t="s">
        <v>16</v>
      </c>
      <c r="B16" s="21"/>
      <c r="C16" s="21"/>
      <c r="D16" s="21"/>
      <c r="E16" s="21"/>
      <c r="F16" s="21"/>
      <c r="G16" s="21"/>
      <c r="H16" s="21"/>
    </row>
    <row r="17" spans="1:8" x14ac:dyDescent="0.2">
      <c r="A17" s="4" t="s">
        <v>17</v>
      </c>
      <c r="B17" s="23" t="s">
        <v>18</v>
      </c>
      <c r="C17" s="21"/>
      <c r="D17" s="21"/>
      <c r="E17" s="21"/>
      <c r="F17" s="21"/>
      <c r="G17" s="21"/>
      <c r="H17" s="21"/>
    </row>
    <row r="18" spans="1:8" x14ac:dyDescent="0.2">
      <c r="A18" s="4" t="s">
        <v>19</v>
      </c>
      <c r="B18" s="23" t="s">
        <v>20</v>
      </c>
      <c r="C18" s="21"/>
      <c r="D18" s="21"/>
      <c r="E18" s="21"/>
      <c r="F18" s="21"/>
      <c r="G18" s="21"/>
      <c r="H18" s="21"/>
    </row>
    <row r="19" spans="1:8" x14ac:dyDescent="0.2">
      <c r="A19" s="4" t="s">
        <v>21</v>
      </c>
      <c r="B19" s="23" t="s">
        <v>22</v>
      </c>
      <c r="C19" s="21"/>
      <c r="D19" s="21"/>
      <c r="E19" s="21"/>
      <c r="F19" s="21"/>
      <c r="G19" s="21"/>
      <c r="H19" s="21"/>
    </row>
    <row r="20" spans="1:8" x14ac:dyDescent="0.2">
      <c r="A20" s="4" t="s">
        <v>23</v>
      </c>
      <c r="B20" s="23" t="s">
        <v>24</v>
      </c>
      <c r="C20" s="21"/>
      <c r="D20" s="21"/>
      <c r="E20" s="21"/>
      <c r="F20" s="21"/>
      <c r="G20" s="21"/>
      <c r="H20" s="21"/>
    </row>
    <row r="21" spans="1:8" x14ac:dyDescent="0.2">
      <c r="A21" s="4" t="s">
        <v>25</v>
      </c>
      <c r="B21" s="23" t="s">
        <v>26</v>
      </c>
      <c r="C21" s="21"/>
      <c r="D21" s="21"/>
      <c r="E21" s="21"/>
      <c r="F21" s="21"/>
      <c r="G21" s="21"/>
      <c r="H21" s="21"/>
    </row>
  </sheetData>
  <mergeCells count="18">
    <mergeCell ref="B21:H21"/>
    <mergeCell ref="B6:H6"/>
    <mergeCell ref="B7:H7"/>
    <mergeCell ref="A1:H1"/>
    <mergeCell ref="B10:H10"/>
    <mergeCell ref="B11:H11"/>
    <mergeCell ref="B5:H5"/>
    <mergeCell ref="B20:H20"/>
    <mergeCell ref="B19:H19"/>
    <mergeCell ref="B4:H4"/>
    <mergeCell ref="A2:H2"/>
    <mergeCell ref="A16:H16"/>
    <mergeCell ref="B12:H12"/>
    <mergeCell ref="A9:H9"/>
    <mergeCell ref="B14:H14"/>
    <mergeCell ref="B17:H17"/>
    <mergeCell ref="B18:H18"/>
    <mergeCell ref="B13:H13"/>
  </mergeCells>
  <pageMargins left="0.4" right="0.4" top="0.5" bottom="0.5" header="0.2" footer="0.2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5FA8"/>
    <pageSetUpPr fitToPage="1"/>
  </sheetPr>
  <dimension ref="A1:D23"/>
  <sheetViews>
    <sheetView showGridLines="0"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customWidth="1"/>
    <col min="2" max="2" width="46.00390625" customWidth="1"/>
    <col min="3" max="3" width="13.98828125" customWidth="1"/>
    <col min="4" max="4" width="16.0078125" customWidth="1"/>
  </cols>
  <sheetData>
    <row r="1" spans="1:4" ht="30" customHeight="1" x14ac:dyDescent="0.2">
      <c r="A1" s="26" t="s">
        <v>27</v>
      </c>
      <c r="B1" s="21"/>
      <c r="C1" s="21"/>
      <c r="D1" s="21"/>
    </row>
    <row r="2" spans="1:4" ht="6" customHeight="1" x14ac:dyDescent="0.2"/>
    <row r="3" spans="1:4" ht="27.95" customHeight="1" x14ac:dyDescent="0.2">
      <c r="A3" s="5" t="s">
        <v>28</v>
      </c>
      <c r="B3" s="5" t="s">
        <v>29</v>
      </c>
      <c r="C3" s="5" t="s">
        <v>30</v>
      </c>
      <c r="D3" s="5" t="s">
        <v>31</v>
      </c>
    </row>
    <row r="4" spans="1:4" x14ac:dyDescent="0.2">
      <c r="A4" s="6">
        <v>1</v>
      </c>
      <c r="B4" s="7" t="s">
        <v>32</v>
      </c>
      <c r="C4" s="8" t="s">
        <v>33</v>
      </c>
      <c r="D4" s="7" t="s">
        <v>34</v>
      </c>
    </row>
    <row r="5" spans="1:4" x14ac:dyDescent="0.2">
      <c r="A5" s="9">
        <v>2</v>
      </c>
      <c r="B5" s="10" t="s">
        <v>35</v>
      </c>
      <c r="C5" s="8" t="s">
        <v>33</v>
      </c>
      <c r="D5" s="10" t="s">
        <v>34</v>
      </c>
    </row>
    <row r="6" spans="1:4" x14ac:dyDescent="0.2">
      <c r="A6" s="6">
        <v>3</v>
      </c>
      <c r="B6" s="7" t="s">
        <v>36</v>
      </c>
      <c r="C6" s="11" t="s">
        <v>37</v>
      </c>
      <c r="D6" s="7" t="s">
        <v>38</v>
      </c>
    </row>
    <row r="7" spans="1:4" x14ac:dyDescent="0.2">
      <c r="A7" s="9">
        <v>4</v>
      </c>
      <c r="B7" s="10" t="s">
        <v>39</v>
      </c>
      <c r="C7" s="8" t="s">
        <v>33</v>
      </c>
      <c r="D7" s="10" t="s">
        <v>34</v>
      </c>
    </row>
    <row r="8" spans="1:4" x14ac:dyDescent="0.2">
      <c r="A8" s="6">
        <v>5</v>
      </c>
      <c r="B8" s="7" t="s">
        <v>40</v>
      </c>
      <c r="C8" s="8" t="s">
        <v>33</v>
      </c>
      <c r="D8" s="7" t="s">
        <v>34</v>
      </c>
    </row>
    <row r="9" spans="1:4" x14ac:dyDescent="0.2">
      <c r="A9" s="9">
        <v>6</v>
      </c>
      <c r="B9" s="10" t="s">
        <v>41</v>
      </c>
      <c r="C9" s="8" t="s">
        <v>33</v>
      </c>
      <c r="D9" s="10" t="s">
        <v>34</v>
      </c>
    </row>
    <row r="10" spans="1:4" x14ac:dyDescent="0.2">
      <c r="A10" s="6">
        <v>7</v>
      </c>
      <c r="B10" s="7" t="s">
        <v>42</v>
      </c>
      <c r="C10" s="12" t="s">
        <v>43</v>
      </c>
      <c r="D10" s="7" t="s">
        <v>44</v>
      </c>
    </row>
    <row r="11" spans="1:4" x14ac:dyDescent="0.2">
      <c r="A11" s="9">
        <v>8</v>
      </c>
      <c r="B11" s="10" t="s">
        <v>45</v>
      </c>
      <c r="C11" s="11" t="s">
        <v>37</v>
      </c>
      <c r="D11" s="10" t="s">
        <v>46</v>
      </c>
    </row>
    <row r="12" spans="1:4" x14ac:dyDescent="0.2">
      <c r="A12" s="6">
        <v>9</v>
      </c>
      <c r="B12" s="7" t="s">
        <v>47</v>
      </c>
      <c r="C12" s="11" t="s">
        <v>37</v>
      </c>
      <c r="D12" s="7" t="s">
        <v>46</v>
      </c>
    </row>
    <row r="13" spans="1:4" x14ac:dyDescent="0.2">
      <c r="A13" s="9">
        <v>10</v>
      </c>
      <c r="B13" s="10" t="s">
        <v>48</v>
      </c>
      <c r="C13" s="11" t="s">
        <v>37</v>
      </c>
      <c r="D13" s="10" t="s">
        <v>49</v>
      </c>
    </row>
    <row r="14" spans="1:4" x14ac:dyDescent="0.2">
      <c r="A14" s="6">
        <v>11</v>
      </c>
      <c r="B14" s="7" t="s">
        <v>50</v>
      </c>
      <c r="C14" s="11" t="s">
        <v>37</v>
      </c>
      <c r="D14" s="7" t="s">
        <v>49</v>
      </c>
    </row>
    <row r="15" spans="1:4" x14ac:dyDescent="0.2">
      <c r="A15" s="9">
        <v>12</v>
      </c>
      <c r="B15" s="10" t="s">
        <v>51</v>
      </c>
      <c r="C15" s="11" t="s">
        <v>37</v>
      </c>
      <c r="D15" s="10" t="s">
        <v>52</v>
      </c>
    </row>
    <row r="16" spans="1:4" x14ac:dyDescent="0.2">
      <c r="A16" s="6">
        <v>13</v>
      </c>
      <c r="B16" s="7" t="s">
        <v>53</v>
      </c>
      <c r="C16" s="11" t="s">
        <v>37</v>
      </c>
      <c r="D16" s="7" t="s">
        <v>52</v>
      </c>
    </row>
    <row r="17" spans="1:4" x14ac:dyDescent="0.2">
      <c r="A17" s="9">
        <v>14</v>
      </c>
      <c r="B17" s="10" t="s">
        <v>54</v>
      </c>
      <c r="C17" s="11" t="s">
        <v>37</v>
      </c>
      <c r="D17" s="10" t="s">
        <v>52</v>
      </c>
    </row>
    <row r="18" spans="1:4" x14ac:dyDescent="0.2">
      <c r="A18" s="6">
        <v>15</v>
      </c>
      <c r="B18" s="7" t="s">
        <v>55</v>
      </c>
      <c r="C18" s="11" t="s">
        <v>37</v>
      </c>
      <c r="D18" s="7" t="s">
        <v>56</v>
      </c>
    </row>
    <row r="19" spans="1:4" x14ac:dyDescent="0.2">
      <c r="A19" s="9">
        <v>16</v>
      </c>
      <c r="B19" s="10" t="s">
        <v>57</v>
      </c>
      <c r="C19" s="11" t="s">
        <v>37</v>
      </c>
      <c r="D19" s="10" t="s">
        <v>56</v>
      </c>
    </row>
    <row r="20" spans="1:4" x14ac:dyDescent="0.2">
      <c r="A20" s="6">
        <v>17</v>
      </c>
      <c r="B20" s="7" t="s">
        <v>58</v>
      </c>
      <c r="C20" s="11" t="s">
        <v>37</v>
      </c>
      <c r="D20" s="7" t="s">
        <v>52</v>
      </c>
    </row>
    <row r="21" spans="1:4" x14ac:dyDescent="0.2">
      <c r="A21" s="9">
        <v>18</v>
      </c>
      <c r="B21" s="10" t="s">
        <v>59</v>
      </c>
      <c r="C21" s="11" t="s">
        <v>37</v>
      </c>
      <c r="D21" s="10" t="s">
        <v>56</v>
      </c>
    </row>
    <row r="22" spans="1:4" x14ac:dyDescent="0.2">
      <c r="A22" s="6">
        <v>19</v>
      </c>
      <c r="B22" s="7" t="s">
        <v>60</v>
      </c>
      <c r="C22" s="8" t="s">
        <v>33</v>
      </c>
      <c r="D22" s="7" t="s">
        <v>34</v>
      </c>
    </row>
    <row r="23" spans="1:4" x14ac:dyDescent="0.2">
      <c r="A23" s="9">
        <v>20</v>
      </c>
      <c r="B23" s="10" t="s">
        <v>61</v>
      </c>
      <c r="C23" s="11" t="s">
        <v>37</v>
      </c>
      <c r="D23" s="10" t="s">
        <v>62</v>
      </c>
    </row>
  </sheetData>
  <autoFilter ref="A3:D23" xr:uid="{00000000-0009-0000-0000-000001000000}"/>
  <mergeCells count="1">
    <mergeCell ref="A1:D1"/>
  </mergeCells>
  <pageMargins left="0.4" right="0.4" top="0.5" bottom="0.5" header="0.2" footer="0.2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7280"/>
    <pageSetUpPr fitToPage="1"/>
  </sheetPr>
  <dimension ref="A1:H1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7.93359375" customWidth="1"/>
    <col min="2" max="4" width="11.97265625" customWidth="1"/>
    <col min="5" max="5" width="18.0234375" customWidth="1"/>
    <col min="6" max="7" width="11.97265625" customWidth="1"/>
    <col min="8" max="8" width="22.05859375" customWidth="1"/>
  </cols>
  <sheetData>
    <row r="1" spans="1:8" ht="30" customHeight="1" x14ac:dyDescent="0.2">
      <c r="A1" s="26" t="s">
        <v>63</v>
      </c>
      <c r="B1" s="21"/>
      <c r="C1" s="21"/>
      <c r="D1" s="21"/>
      <c r="E1" s="21"/>
      <c r="F1" s="21"/>
      <c r="G1" s="21"/>
      <c r="H1" s="21"/>
    </row>
    <row r="2" spans="1:8" ht="6" customHeight="1" x14ac:dyDescent="0.2"/>
    <row r="3" spans="1:8" ht="27.95" customHeight="1" x14ac:dyDescent="0.2">
      <c r="A3" s="5" t="s">
        <v>64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31</v>
      </c>
    </row>
    <row r="4" spans="1:8" x14ac:dyDescent="0.2">
      <c r="A4" s="6">
        <v>2015</v>
      </c>
      <c r="B4" s="13"/>
      <c r="C4" s="13"/>
      <c r="D4" s="13"/>
      <c r="E4" s="14">
        <f>C4+D4</f>
        <v>0</v>
      </c>
      <c r="F4" s="13"/>
      <c r="G4" s="7"/>
      <c r="H4" s="7" t="s">
        <v>71</v>
      </c>
    </row>
    <row r="5" spans="1:8" x14ac:dyDescent="0.2">
      <c r="A5" s="9">
        <v>2016</v>
      </c>
      <c r="B5" s="15"/>
      <c r="C5" s="15"/>
      <c r="D5" s="15"/>
      <c r="E5" s="14">
        <f>C5+D5</f>
        <v>0</v>
      </c>
      <c r="F5" s="15"/>
      <c r="G5" s="10"/>
      <c r="H5" s="10" t="s">
        <v>71</v>
      </c>
    </row>
    <row r="6" spans="1:8" x14ac:dyDescent="0.2">
      <c r="A6" s="6">
        <v>2017</v>
      </c>
      <c r="B6" s="13"/>
      <c r="C6" s="13"/>
      <c r="D6" s="13"/>
      <c r="E6" s="14">
        <f>C6+D6</f>
        <v>0</v>
      </c>
      <c r="F6" s="13"/>
      <c r="G6" s="7"/>
      <c r="H6" s="7" t="s">
        <v>71</v>
      </c>
    </row>
    <row r="7" spans="1:8" x14ac:dyDescent="0.2">
      <c r="A7" s="9">
        <v>2018</v>
      </c>
      <c r="B7" s="15"/>
      <c r="C7" s="15"/>
      <c r="D7" s="15"/>
      <c r="E7" s="14">
        <f>C7+D7</f>
        <v>0</v>
      </c>
      <c r="F7" s="15"/>
      <c r="G7" s="10"/>
      <c r="H7" s="10" t="s">
        <v>71</v>
      </c>
    </row>
    <row r="8" spans="1:8" x14ac:dyDescent="0.2">
      <c r="A8" s="6">
        <v>2019</v>
      </c>
      <c r="B8" s="13"/>
      <c r="C8" s="13"/>
      <c r="D8" s="13"/>
      <c r="E8" s="14">
        <f>C8+D8</f>
        <v>0</v>
      </c>
      <c r="F8" s="13"/>
      <c r="G8" s="7"/>
      <c r="H8" s="7" t="s">
        <v>71</v>
      </c>
    </row>
    <row r="9" spans="1:8" x14ac:dyDescent="0.2">
      <c r="A9" s="9">
        <v>2020</v>
      </c>
      <c r="B9" s="15"/>
      <c r="C9" s="15"/>
      <c r="D9" s="15"/>
      <c r="E9" s="14">
        <f>C9+D9</f>
        <v>0</v>
      </c>
      <c r="F9" s="15"/>
      <c r="G9" s="10"/>
      <c r="H9" s="10" t="s">
        <v>71</v>
      </c>
    </row>
    <row r="10" spans="1:8" x14ac:dyDescent="0.2">
      <c r="A10" s="6">
        <v>2021</v>
      </c>
      <c r="B10" s="13"/>
      <c r="C10" s="13"/>
      <c r="D10" s="13"/>
      <c r="E10" s="14">
        <f>C10+D10</f>
        <v>0</v>
      </c>
      <c r="F10" s="13"/>
      <c r="G10" s="7"/>
      <c r="H10" s="7" t="s">
        <v>71</v>
      </c>
    </row>
    <row r="11" spans="1:8" x14ac:dyDescent="0.2">
      <c r="A11" s="9">
        <v>2022</v>
      </c>
      <c r="B11" s="15"/>
      <c r="C11" s="15"/>
      <c r="D11" s="15"/>
      <c r="E11" s="14">
        <f>C11+D11</f>
        <v>0</v>
      </c>
      <c r="F11" s="15"/>
      <c r="G11" s="10"/>
      <c r="H11" s="10" t="s">
        <v>71</v>
      </c>
    </row>
    <row r="12" spans="1:8" x14ac:dyDescent="0.2">
      <c r="A12" s="6">
        <v>2023</v>
      </c>
      <c r="B12" s="13"/>
      <c r="C12" s="13"/>
      <c r="D12" s="13"/>
      <c r="E12" s="14">
        <f>C12+D12</f>
        <v>0</v>
      </c>
      <c r="F12" s="13"/>
      <c r="G12" s="7"/>
      <c r="H12" s="7" t="s">
        <v>71</v>
      </c>
    </row>
    <row r="13" spans="1:8" x14ac:dyDescent="0.2">
      <c r="A13" s="9">
        <v>2024</v>
      </c>
      <c r="B13" s="15"/>
      <c r="C13" s="15"/>
      <c r="D13" s="15"/>
      <c r="E13" s="14">
        <f>C13+D13</f>
        <v>0</v>
      </c>
      <c r="F13" s="15"/>
      <c r="G13" s="10"/>
      <c r="H13" s="10" t="s">
        <v>71</v>
      </c>
    </row>
  </sheetData>
  <autoFilter ref="A3:H13" xr:uid="{00000000-0009-0000-0000-000002000000}"/>
  <mergeCells count="1">
    <mergeCell ref="A1:H1"/>
  </mergeCells>
  <pageMargins left="0.4" right="0.4" top="0.5" bottom="0.5" header="0.2" footer="0.2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B3C"/>
    <pageSetUpPr fitToPage="1"/>
  </sheetPr>
  <dimension ref="A1:H1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7.93359375" customWidth="1"/>
    <col min="2" max="5" width="11.97265625" customWidth="1"/>
    <col min="6" max="6" width="18.0234375" customWidth="1"/>
    <col min="7" max="7" width="11.97265625" customWidth="1"/>
    <col min="8" max="8" width="18.0234375" customWidth="1"/>
  </cols>
  <sheetData>
    <row r="1" spans="1:8" ht="30" customHeight="1" x14ac:dyDescent="0.2">
      <c r="A1" s="26" t="s">
        <v>72</v>
      </c>
      <c r="B1" s="21"/>
      <c r="C1" s="21"/>
      <c r="D1" s="21"/>
      <c r="E1" s="21"/>
      <c r="F1" s="21"/>
      <c r="G1" s="21"/>
      <c r="H1" s="21"/>
    </row>
    <row r="2" spans="1:8" ht="6" customHeight="1" x14ac:dyDescent="0.2"/>
    <row r="3" spans="1:8" ht="27.95" customHeight="1" x14ac:dyDescent="0.2">
      <c r="A3" s="5" t="s">
        <v>64</v>
      </c>
      <c r="B3" s="5" t="s">
        <v>73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74</v>
      </c>
      <c r="H3" s="5" t="s">
        <v>75</v>
      </c>
    </row>
    <row r="4" spans="1:8" x14ac:dyDescent="0.2">
      <c r="A4" s="6">
        <v>2015</v>
      </c>
      <c r="B4" s="13"/>
      <c r="C4" s="13"/>
      <c r="D4" s="13"/>
      <c r="E4" s="13"/>
      <c r="F4" s="14">
        <f>D4+E4</f>
        <v>0</v>
      </c>
      <c r="G4" s="7"/>
      <c r="H4" s="16" t="str">
        <f>IF(B4&gt;0,G4/B4*100,"")</f>
        <v/>
      </c>
    </row>
    <row r="5" spans="1:8" x14ac:dyDescent="0.2">
      <c r="A5" s="9">
        <v>2016</v>
      </c>
      <c r="B5" s="15"/>
      <c r="C5" s="15"/>
      <c r="D5" s="15"/>
      <c r="E5" s="15"/>
      <c r="F5" s="14">
        <f>D5+E5</f>
        <v>0</v>
      </c>
      <c r="G5" s="10"/>
      <c r="H5" s="16" t="str">
        <f>IF(B5&gt;0,G5/B5*100,"")</f>
        <v/>
      </c>
    </row>
    <row r="6" spans="1:8" x14ac:dyDescent="0.2">
      <c r="A6" s="6">
        <v>2017</v>
      </c>
      <c r="B6" s="13"/>
      <c r="C6" s="13"/>
      <c r="D6" s="13"/>
      <c r="E6" s="13"/>
      <c r="F6" s="14">
        <f>D6+E6</f>
        <v>0</v>
      </c>
      <c r="G6" s="7"/>
      <c r="H6" s="16" t="str">
        <f>IF(B6&gt;0,G6/B6*100,"")</f>
        <v/>
      </c>
    </row>
    <row r="7" spans="1:8" x14ac:dyDescent="0.2">
      <c r="A7" s="9">
        <v>2018</v>
      </c>
      <c r="B7" s="15"/>
      <c r="C7" s="15"/>
      <c r="D7" s="15"/>
      <c r="E7" s="15"/>
      <c r="F7" s="14">
        <f>D7+E7</f>
        <v>0</v>
      </c>
      <c r="G7" s="10"/>
      <c r="H7" s="16" t="str">
        <f>IF(B7&gt;0,G7/B7*100,"")</f>
        <v/>
      </c>
    </row>
    <row r="8" spans="1:8" x14ac:dyDescent="0.2">
      <c r="A8" s="6">
        <v>2019</v>
      </c>
      <c r="B8" s="13"/>
      <c r="C8" s="13"/>
      <c r="D8" s="13"/>
      <c r="E8" s="13"/>
      <c r="F8" s="14">
        <f>D8+E8</f>
        <v>0</v>
      </c>
      <c r="G8" s="7"/>
      <c r="H8" s="16" t="str">
        <f>IF(B8&gt;0,G8/B8*100,"")</f>
        <v/>
      </c>
    </row>
    <row r="9" spans="1:8" x14ac:dyDescent="0.2">
      <c r="A9" s="9">
        <v>2020</v>
      </c>
      <c r="B9" s="15"/>
      <c r="C9" s="15"/>
      <c r="D9" s="15"/>
      <c r="E9" s="15"/>
      <c r="F9" s="14">
        <f>D9+E9</f>
        <v>0</v>
      </c>
      <c r="G9" s="10"/>
      <c r="H9" s="16" t="str">
        <f>IF(B9&gt;0,G9/B9*100,"")</f>
        <v/>
      </c>
    </row>
    <row r="10" spans="1:8" x14ac:dyDescent="0.2">
      <c r="A10" s="6">
        <v>2021</v>
      </c>
      <c r="B10" s="13"/>
      <c r="C10" s="13"/>
      <c r="D10" s="13"/>
      <c r="E10" s="13"/>
      <c r="F10" s="14">
        <f>D10+E10</f>
        <v>0</v>
      </c>
      <c r="G10" s="7"/>
      <c r="H10" s="16" t="str">
        <f>IF(B10&gt;0,G10/B10*100,"")</f>
        <v/>
      </c>
    </row>
    <row r="11" spans="1:8" x14ac:dyDescent="0.2">
      <c r="A11" s="9">
        <v>2022</v>
      </c>
      <c r="B11" s="15"/>
      <c r="C11" s="15"/>
      <c r="D11" s="15"/>
      <c r="E11" s="15"/>
      <c r="F11" s="14">
        <f>D11+E11</f>
        <v>0</v>
      </c>
      <c r="G11" s="10"/>
      <c r="H11" s="16" t="str">
        <f>IF(B11&gt;0,G11/B11*100,"")</f>
        <v/>
      </c>
    </row>
    <row r="12" spans="1:8" x14ac:dyDescent="0.2">
      <c r="A12" s="6">
        <v>2023</v>
      </c>
      <c r="B12" s="13"/>
      <c r="C12" s="13"/>
      <c r="D12" s="13"/>
      <c r="E12" s="13"/>
      <c r="F12" s="14">
        <f>D12+E12</f>
        <v>0</v>
      </c>
      <c r="G12" s="7"/>
      <c r="H12" s="16" t="str">
        <f>IF(B12&gt;0,G12/B12*100,"")</f>
        <v/>
      </c>
    </row>
    <row r="13" spans="1:8" x14ac:dyDescent="0.2">
      <c r="A13" s="9">
        <v>2024</v>
      </c>
      <c r="B13" s="15"/>
      <c r="C13" s="15"/>
      <c r="D13" s="15"/>
      <c r="E13" s="15"/>
      <c r="F13" s="14">
        <f>D13+E13</f>
        <v>0</v>
      </c>
      <c r="G13" s="10"/>
      <c r="H13" s="16" t="str">
        <f>IF(B13&gt;0,G13/B13*100,"")</f>
        <v/>
      </c>
    </row>
  </sheetData>
  <autoFilter ref="A3:H13" xr:uid="{00000000-0009-0000-0000-000003000000}"/>
  <mergeCells count="1">
    <mergeCell ref="A1:H1"/>
  </mergeCells>
  <pageMargins left="0.4" right="0.4" top="0.5" bottom="0.5" header="0.2" footer="0.2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32D2E"/>
    <pageSetUpPr fitToPage="1"/>
  </sheetPr>
  <dimension ref="A1:H1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"/>
  <cols>
    <col min="1" max="1" width="7.93359375" customWidth="1"/>
    <col min="2" max="2" width="13.98828125" customWidth="1"/>
    <col min="3" max="5" width="11.97265625" customWidth="1"/>
    <col min="6" max="6" width="18.0234375" customWidth="1"/>
    <col min="7" max="7" width="11.97265625" customWidth="1"/>
    <col min="8" max="8" width="18.0234375" customWidth="1"/>
  </cols>
  <sheetData>
    <row r="1" spans="1:8" ht="30" customHeight="1" x14ac:dyDescent="0.2">
      <c r="A1" s="26" t="s">
        <v>76</v>
      </c>
      <c r="B1" s="21"/>
      <c r="C1" s="21"/>
      <c r="D1" s="21"/>
      <c r="E1" s="21"/>
      <c r="F1" s="21"/>
      <c r="G1" s="21"/>
      <c r="H1" s="21"/>
    </row>
    <row r="2" spans="1:8" ht="6" customHeight="1" x14ac:dyDescent="0.2"/>
    <row r="3" spans="1:8" ht="27.95" customHeight="1" x14ac:dyDescent="0.2">
      <c r="A3" s="5" t="s">
        <v>64</v>
      </c>
      <c r="B3" s="5" t="s">
        <v>77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74</v>
      </c>
      <c r="H3" s="5" t="s">
        <v>75</v>
      </c>
    </row>
    <row r="4" spans="1:8" x14ac:dyDescent="0.2">
      <c r="A4" s="6">
        <v>2015</v>
      </c>
      <c r="B4" s="13"/>
      <c r="C4" s="13"/>
      <c r="D4" s="13"/>
      <c r="E4" s="13"/>
      <c r="F4" s="14">
        <f>D4+E4</f>
        <v>0</v>
      </c>
      <c r="G4" s="7"/>
      <c r="H4" s="16" t="str">
        <f>IF(B4&gt;0,G4/B4*100,"")</f>
        <v/>
      </c>
    </row>
    <row r="5" spans="1:8" x14ac:dyDescent="0.2">
      <c r="A5" s="9">
        <v>2016</v>
      </c>
      <c r="B5" s="15"/>
      <c r="C5" s="15"/>
      <c r="D5" s="15"/>
      <c r="E5" s="15"/>
      <c r="F5" s="14">
        <f>D5+E5</f>
        <v>0</v>
      </c>
      <c r="G5" s="10"/>
      <c r="H5" s="16" t="str">
        <f>IF(B5&gt;0,G5/B5*100,"")</f>
        <v/>
      </c>
    </row>
    <row r="6" spans="1:8" x14ac:dyDescent="0.2">
      <c r="A6" s="6">
        <v>2017</v>
      </c>
      <c r="B6" s="13"/>
      <c r="C6" s="13"/>
      <c r="D6" s="13"/>
      <c r="E6" s="13"/>
      <c r="F6" s="14">
        <f>D6+E6</f>
        <v>0</v>
      </c>
      <c r="G6" s="7"/>
      <c r="H6" s="16" t="str">
        <f>IF(B6&gt;0,G6/B6*100,"")</f>
        <v/>
      </c>
    </row>
    <row r="7" spans="1:8" x14ac:dyDescent="0.2">
      <c r="A7" s="9">
        <v>2018</v>
      </c>
      <c r="B7" s="15"/>
      <c r="C7" s="15"/>
      <c r="D7" s="15"/>
      <c r="E7" s="15"/>
      <c r="F7" s="14">
        <f>D7+E7</f>
        <v>0</v>
      </c>
      <c r="G7" s="10"/>
      <c r="H7" s="16" t="str">
        <f>IF(B7&gt;0,G7/B7*100,"")</f>
        <v/>
      </c>
    </row>
    <row r="8" spans="1:8" x14ac:dyDescent="0.2">
      <c r="A8" s="6">
        <v>2019</v>
      </c>
      <c r="B8" s="13"/>
      <c r="C8" s="13"/>
      <c r="D8" s="13"/>
      <c r="E8" s="13"/>
      <c r="F8" s="14">
        <f>D8+E8</f>
        <v>0</v>
      </c>
      <c r="G8" s="7"/>
      <c r="H8" s="16" t="str">
        <f>IF(B8&gt;0,G8/B8*100,"")</f>
        <v/>
      </c>
    </row>
    <row r="9" spans="1:8" x14ac:dyDescent="0.2">
      <c r="A9" s="9">
        <v>2020</v>
      </c>
      <c r="B9" s="15"/>
      <c r="C9" s="15"/>
      <c r="D9" s="15"/>
      <c r="E9" s="15"/>
      <c r="F9" s="14">
        <f>D9+E9</f>
        <v>0</v>
      </c>
      <c r="G9" s="10"/>
      <c r="H9" s="16" t="str">
        <f>IF(B9&gt;0,G9/B9*100,"")</f>
        <v/>
      </c>
    </row>
    <row r="10" spans="1:8" x14ac:dyDescent="0.2">
      <c r="A10" s="6">
        <v>2021</v>
      </c>
      <c r="B10" s="13"/>
      <c r="C10" s="13"/>
      <c r="D10" s="13"/>
      <c r="E10" s="13"/>
      <c r="F10" s="14">
        <f>D10+E10</f>
        <v>0</v>
      </c>
      <c r="G10" s="7"/>
      <c r="H10" s="16" t="str">
        <f>IF(B10&gt;0,G10/B10*100,"")</f>
        <v/>
      </c>
    </row>
    <row r="11" spans="1:8" x14ac:dyDescent="0.2">
      <c r="A11" s="9">
        <v>2022</v>
      </c>
      <c r="B11" s="15"/>
      <c r="C11" s="15"/>
      <c r="D11" s="15"/>
      <c r="E11" s="15"/>
      <c r="F11" s="14">
        <f>D11+E11</f>
        <v>0</v>
      </c>
      <c r="G11" s="10"/>
      <c r="H11" s="16" t="str">
        <f>IF(B11&gt;0,G11/B11*100,"")</f>
        <v/>
      </c>
    </row>
    <row r="12" spans="1:8" x14ac:dyDescent="0.2">
      <c r="A12" s="6">
        <v>2023</v>
      </c>
      <c r="B12" s="13"/>
      <c r="C12" s="13"/>
      <c r="D12" s="13"/>
      <c r="E12" s="13"/>
      <c r="F12" s="14">
        <f>D12+E12</f>
        <v>0</v>
      </c>
      <c r="G12" s="7"/>
      <c r="H12" s="16" t="str">
        <f>IF(B12&gt;0,G12/B12*100,"")</f>
        <v/>
      </c>
    </row>
    <row r="13" spans="1:8" x14ac:dyDescent="0.2">
      <c r="A13" s="9">
        <v>2024</v>
      </c>
      <c r="B13" s="15"/>
      <c r="C13" s="15"/>
      <c r="D13" s="15"/>
      <c r="E13" s="15"/>
      <c r="F13" s="14">
        <f>D13+E13</f>
        <v>0</v>
      </c>
      <c r="G13" s="10"/>
      <c r="H13" s="16" t="str">
        <f>IF(B13&gt;0,G13/B13*100,"")</f>
        <v/>
      </c>
    </row>
  </sheetData>
  <autoFilter ref="A3:H13" xr:uid="{00000000-0009-0000-0000-000004000000}"/>
  <mergeCells count="1">
    <mergeCell ref="A1:H1"/>
  </mergeCells>
  <pageMargins left="0.4" right="0.4" top="0.5" bottom="0.5" header="0.2" footer="0.2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5610E"/>
    <pageSetUpPr fitToPage="1"/>
  </sheetPr>
  <dimension ref="A1:N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7.93359375" customWidth="1"/>
    <col min="2" max="2" width="13.98828125" customWidth="1"/>
    <col min="3" max="3" width="11.97265625" customWidth="1"/>
    <col min="4" max="4" width="13.046875" customWidth="1"/>
    <col min="5" max="5" width="11.97265625" customWidth="1"/>
    <col min="6" max="6" width="11.02734375" customWidth="1"/>
    <col min="7" max="7" width="9.953125" customWidth="1"/>
    <col min="8" max="9" width="11.02734375" customWidth="1"/>
    <col min="10" max="10" width="11.97265625" customWidth="1"/>
    <col min="11" max="11" width="11.02734375" customWidth="1"/>
    <col min="12" max="13" width="11.97265625" customWidth="1"/>
    <col min="14" max="14" width="11.02734375" customWidth="1"/>
  </cols>
  <sheetData>
    <row r="1" spans="1:14" ht="30" customHeight="1" x14ac:dyDescent="0.2">
      <c r="A1" s="26" t="s">
        <v>78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1.95" customHeight="1" x14ac:dyDescent="0.2">
      <c r="A2" s="20" t="s">
        <v>79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6" customHeight="1" x14ac:dyDescent="0.2"/>
    <row r="4" spans="1:14" ht="27.95" customHeight="1" x14ac:dyDescent="0.2">
      <c r="A4" s="5" t="s">
        <v>64</v>
      </c>
      <c r="B4" s="5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  <c r="M4" s="5" t="s">
        <v>91</v>
      </c>
      <c r="N4" s="5" t="s">
        <v>92</v>
      </c>
    </row>
    <row r="5" spans="1:14" x14ac:dyDescent="0.2">
      <c r="A5" s="6">
        <v>2015</v>
      </c>
      <c r="B5" s="7"/>
      <c r="C5" s="7"/>
      <c r="D5" s="7"/>
      <c r="E5" s="17">
        <f>C5+D5</f>
        <v>0</v>
      </c>
      <c r="F5" s="7"/>
      <c r="G5" s="7"/>
      <c r="H5" s="7"/>
      <c r="I5" s="17">
        <f>G5+H5</f>
        <v>0</v>
      </c>
      <c r="J5" s="18" t="str">
        <f>IF(F5&gt;0,B5/F5*100000,"")</f>
        <v/>
      </c>
      <c r="K5" s="18" t="str">
        <f>IF(G5&gt;0,C5/G5*100000,"")</f>
        <v/>
      </c>
      <c r="L5" s="18" t="str">
        <f>IF(H5&gt;0,D5/H5*100000,"")</f>
        <v/>
      </c>
      <c r="M5" s="18" t="str">
        <f>IF(I5&gt;0,E5/I5*100000,"")</f>
        <v/>
      </c>
      <c r="N5" s="19" t="str">
        <f>IF(AND(J5&lt;&gt;"",J5&gt;0),M5/J5,"")</f>
        <v/>
      </c>
    </row>
    <row r="6" spans="1:14" x14ac:dyDescent="0.2">
      <c r="A6" s="9">
        <v>2016</v>
      </c>
      <c r="B6" s="10"/>
      <c r="C6" s="10"/>
      <c r="D6" s="10"/>
      <c r="E6" s="17">
        <f>C6+D6</f>
        <v>0</v>
      </c>
      <c r="F6" s="10"/>
      <c r="G6" s="10"/>
      <c r="H6" s="10"/>
      <c r="I6" s="17">
        <f>G6+H6</f>
        <v>0</v>
      </c>
      <c r="J6" s="18" t="str">
        <f>IF(F6&gt;0,B6/F6*100000,"")</f>
        <v/>
      </c>
      <c r="K6" s="18" t="str">
        <f>IF(G6&gt;0,C6/G6*100000,"")</f>
        <v/>
      </c>
      <c r="L6" s="18" t="str">
        <f>IF(H6&gt;0,D6/H6*100000,"")</f>
        <v/>
      </c>
      <c r="M6" s="18" t="str">
        <f>IF(I6&gt;0,E6/I6*100000,"")</f>
        <v/>
      </c>
      <c r="N6" s="19" t="str">
        <f>IF(AND(J6&lt;&gt;"",J6&gt;0),M6/J6,"")</f>
        <v/>
      </c>
    </row>
    <row r="7" spans="1:14" x14ac:dyDescent="0.2">
      <c r="A7" s="6">
        <v>2017</v>
      </c>
      <c r="B7" s="7"/>
      <c r="C7" s="7"/>
      <c r="D7" s="7"/>
      <c r="E7" s="17">
        <f>C7+D7</f>
        <v>0</v>
      </c>
      <c r="F7" s="7"/>
      <c r="G7" s="7"/>
      <c r="H7" s="7"/>
      <c r="I7" s="17">
        <f>G7+H7</f>
        <v>0</v>
      </c>
      <c r="J7" s="18" t="str">
        <f>IF(F7&gt;0,B7/F7*100000,"")</f>
        <v/>
      </c>
      <c r="K7" s="18" t="str">
        <f>IF(G7&gt;0,C7/G7*100000,"")</f>
        <v/>
      </c>
      <c r="L7" s="18" t="str">
        <f>IF(H7&gt;0,D7/H7*100000,"")</f>
        <v/>
      </c>
      <c r="M7" s="18" t="str">
        <f>IF(I7&gt;0,E7/I7*100000,"")</f>
        <v/>
      </c>
      <c r="N7" s="19" t="str">
        <f>IF(AND(J7&lt;&gt;"",J7&gt;0),M7/J7,"")</f>
        <v/>
      </c>
    </row>
    <row r="8" spans="1:14" x14ac:dyDescent="0.2">
      <c r="A8" s="9">
        <v>2018</v>
      </c>
      <c r="B8" s="10"/>
      <c r="C8" s="10"/>
      <c r="D8" s="10"/>
      <c r="E8" s="17">
        <f>C8+D8</f>
        <v>0</v>
      </c>
      <c r="F8" s="10"/>
      <c r="G8" s="10"/>
      <c r="H8" s="10"/>
      <c r="I8" s="17">
        <f>G8+H8</f>
        <v>0</v>
      </c>
      <c r="J8" s="18" t="str">
        <f>IF(F8&gt;0,B8/F8*100000,"")</f>
        <v/>
      </c>
      <c r="K8" s="18" t="str">
        <f>IF(G8&gt;0,C8/G8*100000,"")</f>
        <v/>
      </c>
      <c r="L8" s="18" t="str">
        <f>IF(H8&gt;0,D8/H8*100000,"")</f>
        <v/>
      </c>
      <c r="M8" s="18" t="str">
        <f>IF(I8&gt;0,E8/I8*100000,"")</f>
        <v/>
      </c>
      <c r="N8" s="19" t="str">
        <f>IF(AND(J8&lt;&gt;"",J8&gt;0),M8/J8,"")</f>
        <v/>
      </c>
    </row>
    <row r="9" spans="1:14" x14ac:dyDescent="0.2">
      <c r="A9" s="6">
        <v>2019</v>
      </c>
      <c r="B9" s="7"/>
      <c r="C9" s="7"/>
      <c r="D9" s="7"/>
      <c r="E9" s="17">
        <f>C9+D9</f>
        <v>0</v>
      </c>
      <c r="F9" s="7"/>
      <c r="G9" s="7"/>
      <c r="H9" s="7"/>
      <c r="I9" s="17">
        <f>G9+H9</f>
        <v>0</v>
      </c>
      <c r="J9" s="18" t="str">
        <f>IF(F9&gt;0,B9/F9*100000,"")</f>
        <v/>
      </c>
      <c r="K9" s="18" t="str">
        <f>IF(G9&gt;0,C9/G9*100000,"")</f>
        <v/>
      </c>
      <c r="L9" s="18" t="str">
        <f>IF(H9&gt;0,D9/H9*100000,"")</f>
        <v/>
      </c>
      <c r="M9" s="18" t="str">
        <f>IF(I9&gt;0,E9/I9*100000,"")</f>
        <v/>
      </c>
      <c r="N9" s="19" t="str">
        <f>IF(AND(J9&lt;&gt;"",J9&gt;0),M9/J9,"")</f>
        <v/>
      </c>
    </row>
    <row r="10" spans="1:14" x14ac:dyDescent="0.2">
      <c r="A10" s="9">
        <v>2020</v>
      </c>
      <c r="B10" s="10"/>
      <c r="C10" s="10"/>
      <c r="D10" s="10"/>
      <c r="E10" s="17">
        <f>C10+D10</f>
        <v>0</v>
      </c>
      <c r="F10" s="10"/>
      <c r="G10" s="10"/>
      <c r="H10" s="10"/>
      <c r="I10" s="17">
        <f>G10+H10</f>
        <v>0</v>
      </c>
      <c r="J10" s="18" t="str">
        <f>IF(F10&gt;0,B10/F10*100000,"")</f>
        <v/>
      </c>
      <c r="K10" s="18" t="str">
        <f>IF(G10&gt;0,C10/G10*100000,"")</f>
        <v/>
      </c>
      <c r="L10" s="18" t="str">
        <f>IF(H10&gt;0,D10/H10*100000,"")</f>
        <v/>
      </c>
      <c r="M10" s="18" t="str">
        <f>IF(I10&gt;0,E10/I10*100000,"")</f>
        <v/>
      </c>
      <c r="N10" s="19" t="str">
        <f>IF(AND(J10&lt;&gt;"",J10&gt;0),M10/J10,"")</f>
        <v/>
      </c>
    </row>
    <row r="11" spans="1:14" x14ac:dyDescent="0.2">
      <c r="A11" s="6">
        <v>2021</v>
      </c>
      <c r="B11" s="7"/>
      <c r="C11" s="7"/>
      <c r="D11" s="7"/>
      <c r="E11" s="17">
        <f>C11+D11</f>
        <v>0</v>
      </c>
      <c r="F11" s="7"/>
      <c r="G11" s="7"/>
      <c r="H11" s="7"/>
      <c r="I11" s="17">
        <f>G11+H11</f>
        <v>0</v>
      </c>
      <c r="J11" s="18" t="str">
        <f>IF(F11&gt;0,B11/F11*100000,"")</f>
        <v/>
      </c>
      <c r="K11" s="18" t="str">
        <f>IF(G11&gt;0,C11/G11*100000,"")</f>
        <v/>
      </c>
      <c r="L11" s="18" t="str">
        <f>IF(H11&gt;0,D11/H11*100000,"")</f>
        <v/>
      </c>
      <c r="M11" s="18" t="str">
        <f>IF(I11&gt;0,E11/I11*100000,"")</f>
        <v/>
      </c>
      <c r="N11" s="19" t="str">
        <f>IF(AND(J11&lt;&gt;"",J11&gt;0),M11/J11,"")</f>
        <v/>
      </c>
    </row>
    <row r="12" spans="1:14" x14ac:dyDescent="0.2">
      <c r="A12" s="9">
        <v>2022</v>
      </c>
      <c r="B12" s="10"/>
      <c r="C12" s="10"/>
      <c r="D12" s="10"/>
      <c r="E12" s="17">
        <f>C12+D12</f>
        <v>0</v>
      </c>
      <c r="F12" s="10"/>
      <c r="G12" s="10"/>
      <c r="H12" s="10"/>
      <c r="I12" s="17">
        <f>G12+H12</f>
        <v>0</v>
      </c>
      <c r="J12" s="18" t="str">
        <f>IF(F12&gt;0,B12/F12*100000,"")</f>
        <v/>
      </c>
      <c r="K12" s="18" t="str">
        <f>IF(G12&gt;0,C12/G12*100000,"")</f>
        <v/>
      </c>
      <c r="L12" s="18" t="str">
        <f>IF(H12&gt;0,D12/H12*100000,"")</f>
        <v/>
      </c>
      <c r="M12" s="18" t="str">
        <f>IF(I12&gt;0,E12/I12*100000,"")</f>
        <v/>
      </c>
      <c r="N12" s="19" t="str">
        <f>IF(AND(J12&lt;&gt;"",J12&gt;0),M12/J12,"")</f>
        <v/>
      </c>
    </row>
    <row r="13" spans="1:14" x14ac:dyDescent="0.2">
      <c r="A13" s="6">
        <v>2023</v>
      </c>
      <c r="B13" s="7"/>
      <c r="C13" s="7"/>
      <c r="D13" s="7"/>
      <c r="E13" s="17">
        <f>C13+D13</f>
        <v>0</v>
      </c>
      <c r="F13" s="7"/>
      <c r="G13" s="7"/>
      <c r="H13" s="7"/>
      <c r="I13" s="17">
        <f>G13+H13</f>
        <v>0</v>
      </c>
      <c r="J13" s="18" t="str">
        <f>IF(F13&gt;0,B13/F13*100000,"")</f>
        <v/>
      </c>
      <c r="K13" s="18" t="str">
        <f>IF(G13&gt;0,C13/G13*100000,"")</f>
        <v/>
      </c>
      <c r="L13" s="18" t="str">
        <f>IF(H13&gt;0,D13/H13*100000,"")</f>
        <v/>
      </c>
      <c r="M13" s="18" t="str">
        <f>IF(I13&gt;0,E13/I13*100000,"")</f>
        <v/>
      </c>
      <c r="N13" s="19" t="str">
        <f>IF(AND(J13&lt;&gt;"",J13&gt;0),M13/J13,"")</f>
        <v/>
      </c>
    </row>
    <row r="14" spans="1:14" x14ac:dyDescent="0.2">
      <c r="A14" s="9">
        <v>2024</v>
      </c>
      <c r="B14" s="10"/>
      <c r="C14" s="10"/>
      <c r="D14" s="10"/>
      <c r="E14" s="17">
        <f>C14+D14</f>
        <v>0</v>
      </c>
      <c r="F14" s="10"/>
      <c r="G14" s="10"/>
      <c r="H14" s="10"/>
      <c r="I14" s="17">
        <f>G14+H14</f>
        <v>0</v>
      </c>
      <c r="J14" s="18" t="str">
        <f>IF(F14&gt;0,B14/F14*100000,"")</f>
        <v/>
      </c>
      <c r="K14" s="18" t="str">
        <f>IF(G14&gt;0,C14/G14*100000,"")</f>
        <v/>
      </c>
      <c r="L14" s="18" t="str">
        <f>IF(H14&gt;0,D14/H14*100000,"")</f>
        <v/>
      </c>
      <c r="M14" s="18" t="str">
        <f>IF(I14&gt;0,E14/I14*100000,"")</f>
        <v/>
      </c>
      <c r="N14" s="19" t="str">
        <f>IF(AND(J14&lt;&gt;"",J14&gt;0),M14/J14,"")</f>
        <v/>
      </c>
    </row>
  </sheetData>
  <autoFilter ref="A4:N14" xr:uid="{00000000-0009-0000-0000-000005000000}"/>
  <mergeCells count="2">
    <mergeCell ref="A2:N2"/>
    <mergeCell ref="A1:N1"/>
  </mergeCells>
  <pageMargins left="0.4" right="0.4" top="0.5" bottom="0.5" header="0.2" footer="0.2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README</vt:lpstr>
      <vt:lpstr>Status_20_Indicadores</vt:lpstr>
      <vt:lpstr>Denominadores_Populacionais</vt:lpstr>
      <vt:lpstr>SINASC_Nascidos_Vivos</vt:lpstr>
      <vt:lpstr>SIM_Óbitos</vt:lpstr>
      <vt:lpstr>Indicadores_Materno_Infantis</vt:lpstr>
      <vt:lpstr>README!Area_de_impressao</vt:lpstr>
      <vt:lpstr>Status_20_Indicadores!Area_de_impressao</vt:lpstr>
      <vt:lpstr>Denominadores_Populacionais!Area_de_impressao</vt:lpstr>
      <vt:lpstr>SINASC_Nascidos_Vivos!Area_de_impressao</vt:lpstr>
      <vt:lpstr>SIM_Óbitos!Area_de_impressao</vt:lpstr>
      <vt:lpstr>Indicadores_Materno_Infantis!Area_de_impressao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2026-09-01T14:40:22Z</dcterms:created>
  <dcterms:modified xsi:type="dcterms:W3CDTF">2026-09-03T00:24:10Z</dcterms:modified>
</cp:coreProperties>
</file>